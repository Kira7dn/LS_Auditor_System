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Analyze\LS\LS_Auditor_System\Projects\Energy\"/>
    </mc:Choice>
  </mc:AlternateContent>
  <xr:revisionPtr revIDLastSave="0" documentId="13_ncr:1_{D636F9BD-7B33-4C94-A866-5889D222A047}" xr6:coauthVersionLast="47" xr6:coauthVersionMax="47" xr10:uidLastSave="{00000000-0000-0000-0000-000000000000}"/>
  <bookViews>
    <workbookView xWindow="-108" yWindow="-108" windowWidth="23256" windowHeight="12456" activeTab="2" xr2:uid="{13BF959A-4E64-4A51-A050-A03964D2FCF6}"/>
  </bookViews>
  <sheets>
    <sheet name="Can_bang_tai" sheetId="1" r:id="rId1"/>
    <sheet name="Cong_suat_xe" sheetId="4" r:id="rId2"/>
    <sheet name="He_s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E3" i="4"/>
  <c r="E2" i="4"/>
  <c r="C9" i="1"/>
  <c r="E2" i="1"/>
  <c r="E3" i="1"/>
  <c r="E4" i="1"/>
  <c r="C6" i="1"/>
  <c r="D6" i="1"/>
  <c r="E7" i="1"/>
  <c r="E8" i="1"/>
  <c r="D9" i="1"/>
  <c r="E10" i="1"/>
  <c r="G2" i="4" l="1"/>
  <c r="H2" i="4" s="1"/>
  <c r="G3" i="4"/>
  <c r="H3" i="4" s="1"/>
  <c r="E6" i="1"/>
  <c r="E9" i="1"/>
  <c r="D11" i="1"/>
  <c r="C12" i="1"/>
  <c r="E12" i="1"/>
  <c r="E11" i="1" l="1"/>
  <c r="D13" i="1"/>
  <c r="D14" i="1" s="1"/>
</calcChain>
</file>

<file path=xl/sharedStrings.xml><?xml version="1.0" encoding="utf-8"?>
<sst xmlns="http://schemas.openxmlformats.org/spreadsheetml/2006/main" count="124" uniqueCount="101">
  <si>
    <t>Phân loại</t>
  </si>
  <si>
    <t>Hạng mục</t>
  </si>
  <si>
    <t>Công suất tối đa/ngày (kWh)</t>
  </si>
  <si>
    <t>Kế hoạch năng lượng/ngày (kWh)</t>
  </si>
  <si>
    <t>Hiệu suất / Hệ số sử dụng (%)</t>
  </si>
  <si>
    <t>Nguồn phát</t>
  </si>
  <si>
    <t>Điện mặt trời tự phát</t>
  </si>
  <si>
    <t>Điện gió tự phát</t>
  </si>
  <si>
    <t>Điện RMFC Bio-Methanol</t>
  </si>
  <si>
    <t>Điện lưới bù tải</t>
  </si>
  <si>
    <t>Tổng nguồn phát (A)</t>
  </si>
  <si>
    <t>Lưu trữ</t>
  </si>
  <si>
    <t>VFB (Pin dòng chảy)</t>
  </si>
  <si>
    <t>BESS (Lithium-ion)</t>
  </si>
  <si>
    <t>Hao hụt tại pin lưu trữ</t>
  </si>
  <si>
    <t>Tiêu thụ</t>
  </si>
  <si>
    <t>Điện sạc đo tại đầu súng</t>
  </si>
  <si>
    <t>Năng lượng sạch chưa phân bổ</t>
  </si>
  <si>
    <t>Hao hụt truyền dẫn hệ thống</t>
  </si>
  <si>
    <t>Tổng tiêu thụ + Hao hụt (B)</t>
  </si>
  <si>
    <t>Đối soát</t>
  </si>
  <si>
    <t>Chênh lệch (A - B)</t>
  </si>
  <si>
    <t>Dòng xe</t>
  </si>
  <si>
    <t>Số lượng xe</t>
  </si>
  <si>
    <t>Định mức tiêu thụ (kWh/km)</t>
  </si>
  <si>
    <t>Tổng điện năng/năm (kWh)</t>
  </si>
  <si>
    <t>CAMC G2E (Xe đầu kéo)</t>
  </si>
  <si>
    <t>Farizon H9E (Xe tải trung)</t>
  </si>
  <si>
    <t>Tổng hạm đội</t>
  </si>
  <si>
    <t>Quãng đường/xe/ngày (km)</t>
  </si>
  <si>
    <t>Quãng đường tổng/ngày (km)</t>
  </si>
  <si>
    <t>Tổng điện năng/ngày (kWh)</t>
  </si>
  <si>
    <t>Loss_Transmission</t>
  </si>
  <si>
    <t>Eff_Charge</t>
  </si>
  <si>
    <t>Hiệu suất truyền dẫn sạc vật lý tại Hub</t>
  </si>
  <si>
    <t>Ký hiệu</t>
  </si>
  <si>
    <t>Tên chỉ số</t>
  </si>
  <si>
    <t>Nguồn tham chiếu / Cơ sở áp dụng</t>
  </si>
  <si>
    <t>Giá trị áp dụng</t>
  </si>
  <si>
    <t>Đơn vị</t>
  </si>
  <si>
    <t>EF_Grid</t>
  </si>
  <si>
    <t>Hệ số phát thải của Lưới điện Việt Nam</t>
  </si>
  <si>
    <t>Quyết định của Cục Biến đổi khí hậu (Bộ TN&amp;MT)</t>
  </si>
  <si>
    <t>kg CO2 / kWh</t>
  </si>
  <si>
    <t>EF_Diesel</t>
  </si>
  <si>
    <t>Hệ số phát thải của dầu Diesel</t>
  </si>
  <si>
    <t>Hướng dẫn kiểm kê khí nhà kính IPCC 2006</t>
  </si>
  <si>
    <t>EF_Solar</t>
  </si>
  <si>
    <t>Hệ số phát thải của Điện mặt trời</t>
  </si>
  <si>
    <t>Mặc định nguồn sạch tự sản tự tiêu</t>
  </si>
  <si>
    <t>EF_Wind</t>
  </si>
  <si>
    <t>Hệ số phát thải của Điện gió</t>
  </si>
  <si>
    <t>EF_Methanol</t>
  </si>
  <si>
    <t>Hệ số phát thải của Điện Methanol sinh học</t>
  </si>
  <si>
    <t>Đánh giá vòng đời (LCA) và chứng nhận nguồn gốc của Bio-Methanol</t>
  </si>
  <si>
    <t>S_Grid</t>
  </si>
  <si>
    <t>Tỷ lệ điện lưới mục tiêu trong sạc</t>
  </si>
  <si>
    <t>Kịch bản phân bổ nguồn sạc mục tiêu năm</t>
  </si>
  <si>
    <t>%</t>
  </si>
  <si>
    <t>FE_Base (CAMC)</t>
  </si>
  <si>
    <t>Tiêu thụ dầu cơ bản xe đầu kéo rỗng</t>
  </si>
  <si>
    <t>Thông số đăng kiểm của nhà sản xuất</t>
  </si>
  <si>
    <t>lít / km</t>
  </si>
  <si>
    <t>FE_Base (Farizon)</t>
  </si>
  <si>
    <t>Tiêu thụ dầu cơ bản xe tải trung rỗng</t>
  </si>
  <si>
    <t>Quy chuẩn thống kê vận tải đường bộ Việt Nam</t>
  </si>
  <si>
    <t>Alpha_Load</t>
  </si>
  <si>
    <t>Hệ số tăng tiêu thụ dầu theo tải trọng</t>
  </si>
  <si>
    <t>lít / (km · tấn)</t>
  </si>
  <si>
    <t>EC_Electric (CAMC)</t>
  </si>
  <si>
    <t>Tiêu thụ điện năng xe đầu kéo CAMC G2E</t>
  </si>
  <si>
    <t>Thiết kế kỹ thuật của nhà sản xuất</t>
  </si>
  <si>
    <t>kWh / km</t>
  </si>
  <si>
    <t>EC_Electric (Farizon)</t>
  </si>
  <si>
    <t>Tiêu thụ điện năng xe tải trung Farizon H9E</t>
  </si>
  <si>
    <t>Eff_VFB</t>
  </si>
  <si>
    <t>Hiệu suất nạp/xả pin dòng chảy VFB</t>
  </si>
  <si>
    <t>Thiết kế kỹ thuật của pin dòng chảy Vanadium</t>
  </si>
  <si>
    <t>Eff_BESS</t>
  </si>
  <si>
    <t>Hiệu suất nạp/xả pin Lithium-ion BESS</t>
  </si>
  <si>
    <t>Thiết kế kỹ thuật của hệ thống pin Lithium</t>
  </si>
  <si>
    <t>CF_Solar</t>
  </si>
  <si>
    <t>Hệ số công suất điện mặt trời Quảng Ninh</t>
  </si>
  <si>
    <t>Bản đồ bức xạ và khí tượng Quảng Ninh</t>
  </si>
  <si>
    <t>CF_Wind</t>
  </si>
  <si>
    <t>Hệ số công suất điện gió Quảng Ninh</t>
  </si>
  <si>
    <t>Bản đồ khí tượng và tài nguyên gió Uông Bí</t>
  </si>
  <si>
    <t>Tỷ lệ hao hụt truyền dẫn thiết kế của Hub</t>
  </si>
  <si>
    <t>Thiết kế hệ thống phân phối điện nội bộ Hub</t>
  </si>
  <si>
    <t>Thiết kế kỹ thuật của trạm sạc nhanh Megawatt</t>
  </si>
  <si>
    <t>Tải trọng</t>
  </si>
  <si>
    <t>https://klinova.vn/latest-news/release-of-vietnams-2023-power-grid-emission-coefficient.html</t>
  </si>
  <si>
    <t>Column1</t>
  </si>
  <si>
    <t>Source</t>
  </si>
  <si>
    <t>https://files.thuvienphapluat.vn/uploads/FilePDFUpload/532253.pdf?vv=100600</t>
  </si>
  <si>
    <t>kgCO₂/TJ</t>
  </si>
  <si>
    <t>Không cần thiết</t>
  </si>
  <si>
    <t>CF= PVOUT/8760</t>
  </si>
  <si>
    <t>https://globalsolaratlas.info/map?c=21.028430,106.794662,11&amp;s=21.077452,106.800156&amp;m=site</t>
  </si>
  <si>
    <t>CFWind​=AEP​/(Prated​×8760)</t>
  </si>
  <si>
    <t>https://www.renewables.ninja/?utm_source=chatgpt.com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</si>
</sst>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9" fontId="0" fillId="0" borderId="0" xfId="2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NumberFormat="1" applyFont="1"/>
    <xf numFmtId="165" fontId="0" fillId="0" borderId="0" xfId="1" applyNumberFormat="1" applyFont="1"/>
    <xf numFmtId="165" fontId="0" fillId="0" borderId="0" xfId="1" applyNumberFormat="1" applyFont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 applyAlignment="1">
      <alignment vertical="center" wrapText="1"/>
    </xf>
    <xf numFmtId="165" fontId="0" fillId="0" borderId="11" xfId="1" applyNumberFormat="1" applyFont="1" applyBorder="1" applyAlignment="1">
      <alignment wrapText="1"/>
    </xf>
    <xf numFmtId="165" fontId="0" fillId="0" borderId="12" xfId="1" applyNumberFormat="1" applyFont="1" applyBorder="1" applyAlignment="1">
      <alignment wrapText="1"/>
    </xf>
    <xf numFmtId="165" fontId="0" fillId="0" borderId="13" xfId="1" applyNumberFormat="1" applyFont="1" applyBorder="1" applyAlignment="1">
      <alignment wrapText="1"/>
    </xf>
    <xf numFmtId="165" fontId="0" fillId="0" borderId="10" xfId="1" applyNumberFormat="1" applyFont="1" applyBorder="1" applyAlignment="1">
      <alignment wrapText="1"/>
    </xf>
    <xf numFmtId="9" fontId="0" fillId="0" borderId="11" xfId="2" applyFont="1" applyBorder="1" applyAlignment="1">
      <alignment vertical="center" wrapText="1"/>
    </xf>
    <xf numFmtId="9" fontId="0" fillId="0" borderId="11" xfId="2" applyFont="1" applyBorder="1" applyAlignment="1">
      <alignment wrapText="1"/>
    </xf>
    <xf numFmtId="9" fontId="0" fillId="0" borderId="12" xfId="2" applyFont="1" applyBorder="1" applyAlignment="1">
      <alignment wrapText="1"/>
    </xf>
    <xf numFmtId="9" fontId="0" fillId="0" borderId="13" xfId="2" applyFont="1" applyBorder="1" applyAlignment="1">
      <alignment wrapText="1"/>
    </xf>
    <xf numFmtId="9" fontId="0" fillId="0" borderId="10" xfId="2" applyFont="1" applyBorder="1" applyAlignment="1">
      <alignment wrapText="1"/>
    </xf>
    <xf numFmtId="0" fontId="18" fillId="0" borderId="0" xfId="44"/>
    <xf numFmtId="3" fontId="0" fillId="0" borderId="0" xfId="0" applyNumberFormat="1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4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numFmt numFmtId="165" formatCode="_(* #,##0_);_(* \(#,##0\);_(* &quot;-&quot;??_);_(@_)"/>
    </dxf>
    <dxf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65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65" formatCode="_(* #,##0_);_(* \(#,##0\);_(* &quot;-&quot;??_);_(@_)"/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8E810-7F89-4475-B8E5-A3FFF9D1507D}" name="Can_bang_tai" displayName="Can_bang_tai" ref="A1:E14" totalsRowShown="0" headerRowDxfId="13">
  <autoFilter ref="A1:E14" xr:uid="{CEA8E810-7F89-4475-B8E5-A3FFF9D1507D}"/>
  <tableColumns count="5">
    <tableColumn id="1" xr3:uid="{2DFCEB1B-4603-4756-B473-A0C54A043BF4}" name="Phân loại" dataDxfId="12"/>
    <tableColumn id="2" xr3:uid="{4F77047A-CD23-4B45-81D3-9CF3C87B8F7B}" name="Hạng mục" dataDxfId="11"/>
    <tableColumn id="3" xr3:uid="{F3BD7B06-C300-4F84-80F0-7E9500F38A3F}" name="Công suất tối đa/ngày (kWh)" dataDxfId="10" dataCellStyle="Comma"/>
    <tableColumn id="4" xr3:uid="{F8634498-1B63-4473-9AE9-C02930ED1E4F}" name="Kế hoạch năng lượng/ngày (kWh)" dataDxfId="9" dataCellStyle="Comma"/>
    <tableColumn id="5" xr3:uid="{C0395635-9310-4912-B188-70368768B3A7}" name="Hiệu suất / Hệ số sử dụng (%)" dataDxfId="8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33DA9-566C-4A18-9D07-726C40350EC5}" name="Cong_suat_xe" displayName="Cong_suat_xe" ref="A1:H3" totalsRowShown="0" headerRowDxfId="7">
  <autoFilter ref="A1:H3" xr:uid="{BAE33DA9-566C-4A18-9D07-726C40350EC5}"/>
  <tableColumns count="8">
    <tableColumn id="1" xr3:uid="{2E2BE096-5751-4267-9E2B-7A235BD75042}" name="Dòng xe"/>
    <tableColumn id="2" xr3:uid="{A17E4E45-85DC-402A-8EEE-26C1ED0B78E9}" name="Số lượng xe" dataDxfId="6" dataCellStyle="Comma"/>
    <tableColumn id="14" xr3:uid="{09ADA6F7-42B2-4775-9EF2-3A85F3A68B3A}" name="Tải trọng" dataDxfId="5" dataCellStyle="Comma"/>
    <tableColumn id="9" xr3:uid="{29AD1275-4948-442E-837A-08012EABBC1D}" name="Quãng đường/xe/ngày (km)" dataDxfId="4" dataCellStyle="Comma"/>
    <tableColumn id="10" xr3:uid="{437A794A-1190-45E1-81AC-91FD808B8869}" name="Quãng đường tổng/ngày (km)" dataDxfId="3" dataCellStyle="Comma">
      <calculatedColumnFormula>Cong_suat_xe[[#This Row],[Quãng đường/xe/ngày (km)]]*Cong_suat_xe[[#This Row],[Số lượng xe]]</calculatedColumnFormula>
    </tableColumn>
    <tableColumn id="11" xr3:uid="{BC32E1AF-E896-47A0-B409-01C229AC87A2}" name="Định mức tiêu thụ (kWh/km)" dataDxfId="2" dataCellStyle="Comma"/>
    <tableColumn id="12" xr3:uid="{B76625DF-00A7-4BC2-A435-05380F543582}" name="Tổng điện năng/ngày (kWh)" dataDxfId="1" dataCellStyle="Comma">
      <calculatedColumnFormula>E2*F2</calculatedColumnFormula>
    </tableColumn>
    <tableColumn id="13" xr3:uid="{7827B195-2901-48FD-A6A9-B743DB473F89}" name="Tổng điện năng/năm (kWh)" dataDxfId="0" dataCellStyle="Comma">
      <calculatedColumnFormula>Cong_suat_xe[[#This Row],[Tổng điện năng/ngày (kWh)]]*365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37FFB8-0175-448A-9E86-D4D9C97885A6}" name="He_so" displayName="He_so" ref="A1:G18" totalsRowShown="0">
  <autoFilter ref="A1:G18" xr:uid="{0137FFB8-0175-448A-9E86-D4D9C97885A6}"/>
  <tableColumns count="7">
    <tableColumn id="1" xr3:uid="{D7C0AE30-487E-4E3E-88CC-25AB8C1466EC}" name="Ký hiệu"/>
    <tableColumn id="2" xr3:uid="{49231ECF-F1D1-48DB-912D-3A39C4053C6E}" name="Tên chỉ số"/>
    <tableColumn id="3" xr3:uid="{15DAEDE7-BA53-4804-8258-A3FF787F35C8}" name="Nguồn tham chiếu / Cơ sở áp dụng"/>
    <tableColumn id="4" xr3:uid="{DDFA0E79-2338-4D42-B32D-CC7AC0B4EE68}" name="Giá trị áp dụng"/>
    <tableColumn id="5" xr3:uid="{CAB31BCF-80B2-4193-BEAE-5C84F42AB242}" name="Đơn vị"/>
    <tableColumn id="6" xr3:uid="{B59EBC03-2E8E-4FA0-A87B-42786BFA44D0}" name="Source"/>
    <tableColumn id="7" xr3:uid="{831159D4-5818-471F-AFBA-6EDB7587F9CA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solaratlas.info/map?c=21.028430,106.794662,11&amp;s=21.077452,106.800156&amp;m=site" TargetMode="External"/><Relationship Id="rId2" Type="http://schemas.openxmlformats.org/officeDocument/2006/relationships/hyperlink" Target="https://files.thuvienphapluat.vn/uploads/FilePDFUpload/532253.pdf?vv=100600" TargetMode="External"/><Relationship Id="rId1" Type="http://schemas.openxmlformats.org/officeDocument/2006/relationships/hyperlink" Target="https://klinova.vn/latest-news/release-of-vietnams-2023-power-grid-emission-coefficient.html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www.renewables.ninja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590B-4895-4D6C-A528-0B1EC8835362}">
  <dimension ref="A1:E14"/>
  <sheetViews>
    <sheetView zoomScale="85" zoomScaleNormal="85" workbookViewId="0">
      <selection activeCell="G22" sqref="G22"/>
    </sheetView>
  </sheetViews>
  <sheetFormatPr defaultRowHeight="14.4" x14ac:dyDescent="0.3"/>
  <cols>
    <col min="1" max="1" width="10.44140625" customWidth="1"/>
    <col min="2" max="2" width="25.77734375" bestFit="1" customWidth="1"/>
    <col min="3" max="4" width="15.109375" style="1" customWidth="1"/>
    <col min="5" max="5" width="15.109375" style="2" customWidth="1"/>
    <col min="7" max="7" width="21" bestFit="1" customWidth="1"/>
    <col min="8" max="8" width="10.44140625" customWidth="1"/>
    <col min="9" max="13" width="13.21875" customWidth="1"/>
    <col min="15" max="15" width="22.33203125" bestFit="1" customWidth="1"/>
    <col min="16" max="16" width="11.21875" bestFit="1" customWidth="1"/>
    <col min="18" max="18" width="36.33203125" bestFit="1" customWidth="1"/>
    <col min="20" max="20" width="17.6640625" bestFit="1" customWidth="1"/>
    <col min="21" max="21" width="35.5546875" bestFit="1" customWidth="1"/>
    <col min="22" max="22" width="55.109375" bestFit="1" customWidth="1"/>
    <col min="23" max="23" width="15.109375" bestFit="1" customWidth="1"/>
    <col min="24" max="24" width="11.5546875" bestFit="1" customWidth="1"/>
  </cols>
  <sheetData>
    <row r="1" spans="1:5" s="3" customFormat="1" ht="43.8" thickBot="1" x14ac:dyDescent="0.35">
      <c r="A1" s="8" t="s">
        <v>0</v>
      </c>
      <c r="B1" s="8" t="s">
        <v>1</v>
      </c>
      <c r="C1" s="13" t="s">
        <v>2</v>
      </c>
      <c r="D1" s="13" t="s">
        <v>3</v>
      </c>
      <c r="E1" s="18" t="s">
        <v>4</v>
      </c>
    </row>
    <row r="2" spans="1:5" x14ac:dyDescent="0.3">
      <c r="A2" s="9" t="s">
        <v>5</v>
      </c>
      <c r="B2" s="9" t="s">
        <v>6</v>
      </c>
      <c r="C2" s="14">
        <v>26064</v>
      </c>
      <c r="D2" s="14">
        <v>3800</v>
      </c>
      <c r="E2" s="19">
        <f>D2/C2</f>
        <v>0.14579496623695518</v>
      </c>
    </row>
    <row r="3" spans="1:5" x14ac:dyDescent="0.3">
      <c r="A3" s="10" t="s">
        <v>5</v>
      </c>
      <c r="B3" s="10" t="s">
        <v>7</v>
      </c>
      <c r="C3" s="15">
        <v>1440</v>
      </c>
      <c r="D3" s="15">
        <v>0</v>
      </c>
      <c r="E3" s="20">
        <f>D3/C3</f>
        <v>0</v>
      </c>
    </row>
    <row r="4" spans="1:5" x14ac:dyDescent="0.3">
      <c r="A4" s="10" t="s">
        <v>5</v>
      </c>
      <c r="B4" s="10" t="s">
        <v>8</v>
      </c>
      <c r="C4" s="15">
        <v>12000</v>
      </c>
      <c r="D4" s="15">
        <v>0</v>
      </c>
      <c r="E4" s="20">
        <f>D4/C4</f>
        <v>0</v>
      </c>
    </row>
    <row r="5" spans="1:5" x14ac:dyDescent="0.3">
      <c r="A5" s="10" t="s">
        <v>5</v>
      </c>
      <c r="B5" s="10" t="s">
        <v>9</v>
      </c>
      <c r="C5" s="15">
        <v>0</v>
      </c>
      <c r="D5" s="15">
        <v>0</v>
      </c>
      <c r="E5" s="20">
        <v>0</v>
      </c>
    </row>
    <row r="6" spans="1:5" ht="15" thickBot="1" x14ac:dyDescent="0.35">
      <c r="A6" s="11" t="s">
        <v>5</v>
      </c>
      <c r="B6" s="11" t="s">
        <v>10</v>
      </c>
      <c r="C6" s="16">
        <f>SUM(C2:C5)</f>
        <v>39504</v>
      </c>
      <c r="D6" s="16">
        <f>SUM(D2:D5)</f>
        <v>3800</v>
      </c>
      <c r="E6" s="21">
        <f t="shared" ref="E6:E11" si="0">D6/C6</f>
        <v>9.6192790603483194E-2</v>
      </c>
    </row>
    <row r="7" spans="1:5" x14ac:dyDescent="0.3">
      <c r="A7" s="9" t="s">
        <v>11</v>
      </c>
      <c r="B7" s="9" t="s">
        <v>12</v>
      </c>
      <c r="C7" s="14">
        <v>4000</v>
      </c>
      <c r="D7" s="14">
        <v>0</v>
      </c>
      <c r="E7" s="19">
        <f t="shared" si="0"/>
        <v>0</v>
      </c>
    </row>
    <row r="8" spans="1:5" x14ac:dyDescent="0.3">
      <c r="A8" s="10" t="s">
        <v>11</v>
      </c>
      <c r="B8" s="10" t="s">
        <v>13</v>
      </c>
      <c r="C8" s="15">
        <v>1000</v>
      </c>
      <c r="D8" s="15">
        <v>840</v>
      </c>
      <c r="E8" s="20">
        <f t="shared" si="0"/>
        <v>0.84</v>
      </c>
    </row>
    <row r="9" spans="1:5" ht="15" thickBot="1" x14ac:dyDescent="0.35">
      <c r="A9" s="11" t="s">
        <v>11</v>
      </c>
      <c r="B9" s="11" t="s">
        <v>14</v>
      </c>
      <c r="C9" s="16">
        <f>(C7+C8)*10%</f>
        <v>500</v>
      </c>
      <c r="D9" s="16">
        <f>D8*10%</f>
        <v>84</v>
      </c>
      <c r="E9" s="21">
        <f t="shared" si="0"/>
        <v>0.16800000000000001</v>
      </c>
    </row>
    <row r="10" spans="1:5" x14ac:dyDescent="0.3">
      <c r="A10" s="9" t="s">
        <v>15</v>
      </c>
      <c r="B10" s="9" t="s">
        <v>16</v>
      </c>
      <c r="C10" s="14">
        <v>1520</v>
      </c>
      <c r="D10" s="14">
        <v>840</v>
      </c>
      <c r="E10" s="19">
        <f t="shared" si="0"/>
        <v>0.55263157894736847</v>
      </c>
    </row>
    <row r="11" spans="1:5" x14ac:dyDescent="0.3">
      <c r="A11" s="10" t="s">
        <v>15</v>
      </c>
      <c r="B11" s="10" t="s">
        <v>17</v>
      </c>
      <c r="C11" s="15">
        <v>26064</v>
      </c>
      <c r="D11" s="15">
        <f>D6-D8-D9-D12</f>
        <v>2676</v>
      </c>
      <c r="E11" s="20">
        <f t="shared" si="0"/>
        <v>0.10267034990791897</v>
      </c>
    </row>
    <row r="12" spans="1:5" x14ac:dyDescent="0.3">
      <c r="A12" s="10" t="s">
        <v>15</v>
      </c>
      <c r="B12" s="10" t="s">
        <v>18</v>
      </c>
      <c r="C12" s="15">
        <f>D6*5%</f>
        <v>190</v>
      </c>
      <c r="D12" s="15">
        <v>200</v>
      </c>
      <c r="E12" s="20">
        <f>D12/D6</f>
        <v>5.2631578947368418E-2</v>
      </c>
    </row>
    <row r="13" spans="1:5" ht="15" thickBot="1" x14ac:dyDescent="0.35">
      <c r="A13" s="11" t="s">
        <v>15</v>
      </c>
      <c r="B13" s="11" t="s">
        <v>19</v>
      </c>
      <c r="C13" s="16"/>
      <c r="D13" s="16">
        <f>D10+D11+D12+D9</f>
        <v>3800</v>
      </c>
      <c r="E13" s="21"/>
    </row>
    <row r="14" spans="1:5" ht="15" thickBot="1" x14ac:dyDescent="0.35">
      <c r="A14" s="12" t="s">
        <v>20</v>
      </c>
      <c r="B14" s="12" t="s">
        <v>21</v>
      </c>
      <c r="C14" s="17"/>
      <c r="D14" s="17">
        <f>D6-D13</f>
        <v>0</v>
      </c>
      <c r="E14" s="2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3099-0FF2-4938-B1AE-91AC42C85FFB}">
  <dimension ref="A1:H4"/>
  <sheetViews>
    <sheetView workbookViewId="0">
      <selection activeCell="D8" sqref="D8"/>
    </sheetView>
  </sheetViews>
  <sheetFormatPr defaultRowHeight="14.4" x14ac:dyDescent="0.3"/>
  <cols>
    <col min="1" max="1" width="21" bestFit="1" customWidth="1"/>
  </cols>
  <sheetData>
    <row r="1" spans="1:8" ht="72" x14ac:dyDescent="0.3">
      <c r="A1" s="4" t="s">
        <v>22</v>
      </c>
      <c r="B1" s="7" t="s">
        <v>23</v>
      </c>
      <c r="C1" s="7" t="s">
        <v>90</v>
      </c>
      <c r="D1" s="7" t="s">
        <v>29</v>
      </c>
      <c r="E1" s="7" t="s">
        <v>30</v>
      </c>
      <c r="F1" s="7" t="s">
        <v>24</v>
      </c>
      <c r="G1" s="7" t="s">
        <v>31</v>
      </c>
      <c r="H1" s="7" t="s">
        <v>25</v>
      </c>
    </row>
    <row r="2" spans="1:8" x14ac:dyDescent="0.3">
      <c r="A2" t="s">
        <v>26</v>
      </c>
      <c r="B2" s="6">
        <v>3</v>
      </c>
      <c r="C2" s="6">
        <v>25</v>
      </c>
      <c r="D2" s="6">
        <v>165</v>
      </c>
      <c r="E2" s="6">
        <f>Cong_suat_xe[[#This Row],[Quãng đường/xe/ngày (km)]]*Cong_suat_xe[[#This Row],[Số lượng xe]]</f>
        <v>495</v>
      </c>
      <c r="F2" s="5">
        <v>1.3</v>
      </c>
      <c r="G2" s="6">
        <f>E2*F2</f>
        <v>643.5</v>
      </c>
      <c r="H2" s="6">
        <f>Cong_suat_xe[[#This Row],[Tổng điện năng/ngày (kWh)]]*365</f>
        <v>234877.5</v>
      </c>
    </row>
    <row r="3" spans="1:8" x14ac:dyDescent="0.3">
      <c r="A3" t="s">
        <v>27</v>
      </c>
      <c r="B3" s="6">
        <v>2</v>
      </c>
      <c r="C3" s="6">
        <v>8</v>
      </c>
      <c r="D3" s="6">
        <v>165</v>
      </c>
      <c r="E3" s="6">
        <f>Cong_suat_xe[[#This Row],[Quãng đường/xe/ngày (km)]]*Cong_suat_xe[[#This Row],[Số lượng xe]]</f>
        <v>330</v>
      </c>
      <c r="F3" s="5">
        <v>0.6</v>
      </c>
      <c r="G3" s="6">
        <f>E3*F3</f>
        <v>198</v>
      </c>
      <c r="H3" s="6">
        <f>Cong_suat_xe[[#This Row],[Tổng điện năng/ngày (kWh)]]*365</f>
        <v>72270</v>
      </c>
    </row>
    <row r="4" spans="1:8" x14ac:dyDescent="0.3">
      <c r="A4" t="s">
        <v>28</v>
      </c>
      <c r="B4" s="6">
        <f>SUM(B2:B3)</f>
        <v>5</v>
      </c>
      <c r="C4" s="6"/>
      <c r="D4" s="6"/>
      <c r="E4" s="6"/>
      <c r="F4" s="6"/>
      <c r="G4" s="6"/>
      <c r="H4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BF0B-7DDB-4A4F-A793-6F84FD66C1B9}">
  <dimension ref="A1:G18"/>
  <sheetViews>
    <sheetView tabSelected="1" workbookViewId="0">
      <selection activeCell="G17" sqref="G17"/>
    </sheetView>
  </sheetViews>
  <sheetFormatPr defaultRowHeight="14.4" x14ac:dyDescent="0.3"/>
  <cols>
    <col min="1" max="1" width="17.6640625" bestFit="1" customWidth="1"/>
    <col min="2" max="2" width="35.5546875" bestFit="1" customWidth="1"/>
    <col min="3" max="3" width="55.109375" bestFit="1" customWidth="1"/>
    <col min="4" max="4" width="15.109375" bestFit="1" customWidth="1"/>
    <col min="5" max="5" width="11.5546875" bestFit="1" customWidth="1"/>
    <col min="6" max="6" width="28" customWidth="1"/>
  </cols>
  <sheetData>
    <row r="1" spans="1:7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93</v>
      </c>
      <c r="G1" t="s">
        <v>92</v>
      </c>
    </row>
    <row r="2" spans="1:7" x14ac:dyDescent="0.3">
      <c r="A2" t="s">
        <v>40</v>
      </c>
      <c r="B2" t="s">
        <v>41</v>
      </c>
      <c r="C2" t="s">
        <v>42</v>
      </c>
      <c r="D2">
        <v>0.65920000000000001</v>
      </c>
      <c r="E2" t="s">
        <v>43</v>
      </c>
      <c r="F2" s="23" t="s">
        <v>91</v>
      </c>
    </row>
    <row r="3" spans="1:7" x14ac:dyDescent="0.3">
      <c r="A3" t="s">
        <v>44</v>
      </c>
      <c r="B3" t="s">
        <v>45</v>
      </c>
      <c r="C3" t="s">
        <v>46</v>
      </c>
      <c r="D3" s="24">
        <v>74100</v>
      </c>
      <c r="E3" t="s">
        <v>95</v>
      </c>
      <c r="F3" s="23" t="s">
        <v>94</v>
      </c>
    </row>
    <row r="4" spans="1:7" x14ac:dyDescent="0.3">
      <c r="A4" t="s">
        <v>47</v>
      </c>
      <c r="B4" t="s">
        <v>48</v>
      </c>
      <c r="C4" t="s">
        <v>49</v>
      </c>
      <c r="D4">
        <v>0</v>
      </c>
      <c r="E4" t="s">
        <v>43</v>
      </c>
    </row>
    <row r="5" spans="1:7" x14ac:dyDescent="0.3">
      <c r="A5" t="s">
        <v>50</v>
      </c>
      <c r="B5" t="s">
        <v>51</v>
      </c>
      <c r="C5" t="s">
        <v>49</v>
      </c>
      <c r="D5">
        <v>0</v>
      </c>
      <c r="E5" t="s">
        <v>43</v>
      </c>
    </row>
    <row r="6" spans="1:7" x14ac:dyDescent="0.3">
      <c r="A6" t="s">
        <v>52</v>
      </c>
      <c r="B6" t="s">
        <v>53</v>
      </c>
      <c r="C6" t="s">
        <v>54</v>
      </c>
      <c r="D6">
        <v>0</v>
      </c>
      <c r="E6" t="s">
        <v>43</v>
      </c>
    </row>
    <row r="7" spans="1:7" x14ac:dyDescent="0.3">
      <c r="A7" t="s">
        <v>55</v>
      </c>
      <c r="B7" t="s">
        <v>56</v>
      </c>
      <c r="C7" t="s">
        <v>57</v>
      </c>
      <c r="D7">
        <v>40</v>
      </c>
      <c r="E7" t="s">
        <v>58</v>
      </c>
    </row>
    <row r="8" spans="1:7" x14ac:dyDescent="0.3">
      <c r="A8" t="s">
        <v>59</v>
      </c>
      <c r="B8" t="s">
        <v>60</v>
      </c>
      <c r="C8" t="s">
        <v>61</v>
      </c>
      <c r="D8">
        <v>0.25</v>
      </c>
      <c r="E8" t="s">
        <v>62</v>
      </c>
    </row>
    <row r="9" spans="1:7" x14ac:dyDescent="0.3">
      <c r="A9" t="s">
        <v>63</v>
      </c>
      <c r="B9" t="s">
        <v>64</v>
      </c>
      <c r="C9" t="s">
        <v>61</v>
      </c>
      <c r="D9">
        <v>0.18</v>
      </c>
      <c r="E9" t="s">
        <v>62</v>
      </c>
    </row>
    <row r="10" spans="1:7" x14ac:dyDescent="0.3">
      <c r="A10" t="s">
        <v>66</v>
      </c>
      <c r="B10" t="s">
        <v>67</v>
      </c>
      <c r="C10" t="s">
        <v>65</v>
      </c>
      <c r="D10">
        <v>5.0000000000000001E-3</v>
      </c>
      <c r="E10" t="s">
        <v>68</v>
      </c>
      <c r="F10" t="s">
        <v>96</v>
      </c>
    </row>
    <row r="11" spans="1:7" x14ac:dyDescent="0.3">
      <c r="A11" t="s">
        <v>69</v>
      </c>
      <c r="B11" t="s">
        <v>70</v>
      </c>
      <c r="C11" t="s">
        <v>71</v>
      </c>
      <c r="D11">
        <v>1.3</v>
      </c>
      <c r="E11" t="s">
        <v>72</v>
      </c>
    </row>
    <row r="12" spans="1:7" x14ac:dyDescent="0.3">
      <c r="A12" t="s">
        <v>73</v>
      </c>
      <c r="B12" t="s">
        <v>74</v>
      </c>
      <c r="C12" t="s">
        <v>71</v>
      </c>
      <c r="D12">
        <v>0.6</v>
      </c>
      <c r="E12" t="s">
        <v>72</v>
      </c>
    </row>
    <row r="13" spans="1:7" x14ac:dyDescent="0.3">
      <c r="A13" t="s">
        <v>75</v>
      </c>
      <c r="B13" t="s">
        <v>76</v>
      </c>
      <c r="C13" t="s">
        <v>77</v>
      </c>
      <c r="D13">
        <v>80</v>
      </c>
      <c r="E13" t="s">
        <v>58</v>
      </c>
    </row>
    <row r="14" spans="1:7" x14ac:dyDescent="0.3">
      <c r="A14" t="s">
        <v>78</v>
      </c>
      <c r="B14" t="s">
        <v>79</v>
      </c>
      <c r="C14" t="s">
        <v>80</v>
      </c>
      <c r="D14">
        <v>90</v>
      </c>
      <c r="E14" t="s">
        <v>58</v>
      </c>
    </row>
    <row r="15" spans="1:7" x14ac:dyDescent="0.3">
      <c r="A15" t="s">
        <v>81</v>
      </c>
      <c r="B15" t="s">
        <v>82</v>
      </c>
      <c r="C15" t="s">
        <v>83</v>
      </c>
      <c r="D15">
        <v>14.6</v>
      </c>
      <c r="E15" t="s">
        <v>58</v>
      </c>
      <c r="F15" s="1" t="s">
        <v>97</v>
      </c>
      <c r="G15" s="23" t="s">
        <v>98</v>
      </c>
    </row>
    <row r="16" spans="1:7" x14ac:dyDescent="0.3">
      <c r="A16" t="s">
        <v>84</v>
      </c>
      <c r="B16" t="s">
        <v>85</v>
      </c>
      <c r="C16" t="s">
        <v>86</v>
      </c>
      <c r="D16">
        <v>29.9</v>
      </c>
      <c r="E16" t="s">
        <v>58</v>
      </c>
      <c r="F16" t="s">
        <v>99</v>
      </c>
      <c r="G16" s="23" t="s">
        <v>100</v>
      </c>
    </row>
    <row r="17" spans="1:5" x14ac:dyDescent="0.3">
      <c r="A17" t="s">
        <v>32</v>
      </c>
      <c r="B17" t="s">
        <v>87</v>
      </c>
      <c r="C17" t="s">
        <v>88</v>
      </c>
      <c r="D17">
        <v>5</v>
      </c>
      <c r="E17" t="s">
        <v>58</v>
      </c>
    </row>
    <row r="18" spans="1:5" x14ac:dyDescent="0.3">
      <c r="A18" t="s">
        <v>33</v>
      </c>
      <c r="B18" t="s">
        <v>34</v>
      </c>
      <c r="C18" t="s">
        <v>89</v>
      </c>
      <c r="D18">
        <v>94</v>
      </c>
      <c r="E18" t="s">
        <v>58</v>
      </c>
    </row>
  </sheetData>
  <hyperlinks>
    <hyperlink ref="F2" r:id="rId1" xr:uid="{A75AA084-A5ED-4FAB-AADD-12902A6A914C}"/>
    <hyperlink ref="F3" r:id="rId2" xr:uid="{4FC15CD1-276D-4DB4-AEAD-92F7B4713DC0}"/>
    <hyperlink ref="G15" r:id="rId3" xr:uid="{8C556E72-1295-403C-A925-BCF9780CD969}"/>
    <hyperlink ref="G16" r:id="rId4" xr:uid="{7810ABAA-67DD-486F-92C0-8CC39A55FA73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Can_bang_tai</vt:lpstr>
      <vt:lpstr>Cong_suat_xe</vt:lpstr>
      <vt:lpstr>He_so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Anh Lê</dc:creator>
  <cp:lastModifiedBy>Đức Anh Lê</cp:lastModifiedBy>
  <dcterms:created xsi:type="dcterms:W3CDTF">2026-06-09T15:48:59Z</dcterms:created>
  <dcterms:modified xsi:type="dcterms:W3CDTF">2026-06-09T18:01:54Z</dcterms:modified>
</cp:coreProperties>
</file>